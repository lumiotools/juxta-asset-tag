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mesh Rana\Downloads\"/>
    </mc:Choice>
  </mc:AlternateContent>
  <xr:revisionPtr revIDLastSave="0" documentId="13_ncr:1_{8D80FB3E-94CB-4287-A383-D12D8274CCFC}" xr6:coauthVersionLast="47" xr6:coauthVersionMax="47" xr10:uidLastSave="{00000000-0000-0000-0000-000000000000}"/>
  <bookViews>
    <workbookView xWindow="28680" yWindow="-120" windowWidth="29040" windowHeight="15720" xr2:uid="{8ECB9944-B88F-4E8B-B02A-55ED224AE877}"/>
  </bookViews>
  <sheets>
    <sheet name="BOM_JUXTA-V2.1.1-C3_2025-12-21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1" i="1" l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2" i="1"/>
  <c r="H2" i="1" s="1"/>
  <c r="J26" i="1" l="1"/>
  <c r="J18" i="1"/>
  <c r="J9" i="1"/>
  <c r="J7" i="1"/>
  <c r="J2" i="1"/>
  <c r="J23" i="1"/>
  <c r="J15" i="1"/>
  <c r="J30" i="1"/>
  <c r="J22" i="1"/>
  <c r="J14" i="1"/>
  <c r="J6" i="1"/>
  <c r="J29" i="1"/>
  <c r="J21" i="1"/>
  <c r="J13" i="1"/>
  <c r="J5" i="1"/>
  <c r="J28" i="1"/>
  <c r="J20" i="1"/>
  <c r="J12" i="1"/>
  <c r="J4" i="1"/>
  <c r="J27" i="1"/>
  <c r="J19" i="1"/>
  <c r="J11" i="1"/>
  <c r="J3" i="1"/>
  <c r="J10" i="1"/>
  <c r="J25" i="1"/>
  <c r="J17" i="1"/>
  <c r="J24" i="1"/>
  <c r="J16" i="1"/>
  <c r="J8" i="1"/>
  <c r="H31" i="1"/>
  <c r="H38" i="1" s="1"/>
  <c r="J31" i="1" l="1"/>
  <c r="J38" i="1" s="1"/>
</calcChain>
</file>

<file path=xl/sharedStrings.xml><?xml version="1.0" encoding="utf-8"?>
<sst xmlns="http://schemas.openxmlformats.org/spreadsheetml/2006/main" count="103" uniqueCount="96">
  <si>
    <t>ID</t>
  </si>
  <si>
    <t>Name</t>
  </si>
  <si>
    <t>Designator</t>
  </si>
  <si>
    <t>Quantity</t>
  </si>
  <si>
    <t>100k</t>
  </si>
  <si>
    <t>100K,100K</t>
  </si>
  <si>
    <t>U5</t>
  </si>
  <si>
    <t>AO3401</t>
  </si>
  <si>
    <t>220k</t>
  </si>
  <si>
    <t>220K,220K</t>
  </si>
  <si>
    <t>U1</t>
  </si>
  <si>
    <t>10uF</t>
  </si>
  <si>
    <t>10UF,10UF,10UF</t>
  </si>
  <si>
    <t>10k</t>
  </si>
  <si>
    <t>10K,10K</t>
  </si>
  <si>
    <t>SL9013M33SA</t>
  </si>
  <si>
    <t>U6</t>
  </si>
  <si>
    <t>BMI323</t>
  </si>
  <si>
    <t>U2</t>
  </si>
  <si>
    <t>100nF</t>
  </si>
  <si>
    <t>100NF,100NF</t>
  </si>
  <si>
    <t>1uf</t>
  </si>
  <si>
    <t>1UF</t>
  </si>
  <si>
    <t>1.2k</t>
  </si>
  <si>
    <t>1.2K</t>
  </si>
  <si>
    <t>AO3400A</t>
  </si>
  <si>
    <t>Q4</t>
  </si>
  <si>
    <t>AO3401A</t>
  </si>
  <si>
    <t>Q5</t>
  </si>
  <si>
    <t>S2B-XH-A-1 (LF)(SN)</t>
  </si>
  <si>
    <t>CN1</t>
  </si>
  <si>
    <t>1K</t>
  </si>
  <si>
    <t>TP4056</t>
  </si>
  <si>
    <t>DW01A</t>
  </si>
  <si>
    <t>WA-FS8205A</t>
  </si>
  <si>
    <t>Q1</t>
  </si>
  <si>
    <t>ATGM336H</t>
  </si>
  <si>
    <t>AU13</t>
  </si>
  <si>
    <t>WS2812B-2020</t>
  </si>
  <si>
    <t>LED1,LED2</t>
  </si>
  <si>
    <t>DMP1045U-7</t>
  </si>
  <si>
    <t>Q2</t>
  </si>
  <si>
    <t>5.1k</t>
  </si>
  <si>
    <t>5.1K,5.1K</t>
  </si>
  <si>
    <t>TS128CJ</t>
  </si>
  <si>
    <t>SW1</t>
  </si>
  <si>
    <t>B5817W</t>
  </si>
  <si>
    <t>U4</t>
  </si>
  <si>
    <t>SS22</t>
  </si>
  <si>
    <t>MUP-U20401-2</t>
  </si>
  <si>
    <t>USB1</t>
  </si>
  <si>
    <t>Q3</t>
  </si>
  <si>
    <t>2k</t>
  </si>
  <si>
    <t>2K</t>
  </si>
  <si>
    <t>ESP32-C3-WROOM-02</t>
  </si>
  <si>
    <t>U3</t>
  </si>
  <si>
    <t>https://www.ktron.in/product/resistor-100k-ohms-1-1-10w-smd-0603/?v=c86ee0d9d7ed</t>
  </si>
  <si>
    <t>https://www.ktron.in/product/ao3401a-mosfet-30v-p-channel/?v=c86ee0d9d7ed</t>
  </si>
  <si>
    <t>W25Q128</t>
  </si>
  <si>
    <t>https://www.ktron.in/product/w25q128jvssiq-serial-flash-128mbit-soic-8/?v=c86ee0d9d7ed</t>
  </si>
  <si>
    <t>https://www.ktron.in/product/resistor-220k-ohms-1-1-10w-smd-0603/?v=c86ee0d9d7ed</t>
  </si>
  <si>
    <t>https://www.ktron.in/product/10uf-10v-mlcc-x5r-smd-0402-0402zd106mat2a/?v=c86ee0d9d7ed</t>
  </si>
  <si>
    <t>https://www.ktron.in/product/resistor-10k-ohms-1-smd-0402/?v=c86ee0d9d7ed</t>
  </si>
  <si>
    <t>https://robu.in/product/sl9013m33sa-slkor-500ma-75db1khz-fixed-3-3v-positive-electrode-6-5v-sot-23-voltage-regulators-linear-low-drop-out-ldo-regulators-rohs/</t>
  </si>
  <si>
    <t>https://www.digikey.in/en/products/detail/bosch-sensortec/BMI323/16719593</t>
  </si>
  <si>
    <t>https://www.ktron.in/shop/?orderby=price&amp;s=100nf&amp;post_type=product&amp;v=c86ee0d9d7ed</t>
  </si>
  <si>
    <t>https://www.ktron.in/product/1uf-25v-mlcc-smd-0402-cc0402krx5r8bb105/?v=c86ee0d9d7ed</t>
  </si>
  <si>
    <t>https://www.ktron.in/product/resistor-1k2-ohms-1-1-8w-smd-0805/?v=c86ee0d9d7ed</t>
  </si>
  <si>
    <t>https://www.ktron.in/product/ao3400a-n-channel-mosfet/?v=c86ee0d9d7ed</t>
  </si>
  <si>
    <t>https://evelta.com/2pin-2-5mm-pitch-shrouded-header-connector/?srsltid=AfmBOopU-H0yo3lPiuR18dxx65HUvQ9SnLGyd-5CEjikyLytEpSwDT_6</t>
  </si>
  <si>
    <t>https://www.ktron.in/product/resistor-22-1k-ohms-1-1-10w-smd-0603/?v=c86ee0d9d7ed</t>
  </si>
  <si>
    <t>https://www.ktron.in/product/tp4056-ic/?v=c86ee0d9d7ed</t>
  </si>
  <si>
    <t>https://www.ktron.in/product/dw01a-lithium-battery-protection-ic/?v=c86ee0d9d7ed</t>
  </si>
  <si>
    <t>https://www.ktron.in/product/fs8205a-dual-n-channel-power-mosfet/?v=c86ee0d9d7ed</t>
  </si>
  <si>
    <t>https://www.alibaba.com/product-detail/New-GPS-Beidou-BDS-Dual-mode_1601608483840.html?spm=a2700.prosearch.normal_offer.d_title.cdd067afRBRX1O&amp;priceId=c08089d7b80a4e248aae4c21b189f137</t>
  </si>
  <si>
    <t>https://robu.in/product/sme-ws2812b-2020-addressable-rgb-pixel-led-worldsemi/?gad_source=1&amp;gad_campaignid=17427802703&amp;gbraid=0AAAAADvLFWdxMRMRGWlA4m30jCKV4hpNd&amp;gclid=Cj0KCQiAr5nKBhCpARIsACa_NiOzt8YdCsf5fzRBsRpZoY7kwaaYJ0UajAgBmDfZxyIAg3vSSgx_6OQaAneeEALw_wcB</t>
  </si>
  <si>
    <t>https://evelta.com/dmp1045u-7-mosfet-p-channel-12v-4a-sot-23-3/</t>
  </si>
  <si>
    <t>https://www.ktron.in/product/resistor-5-1k-ohms-1-62-5mw-smd-0402/?v=c86ee0d9d7ed</t>
  </si>
  <si>
    <t>https://evelta.com/schottky-diode-1a-sod-123-b5817w/</t>
  </si>
  <si>
    <t>https://evelta.com/ss22-sma-20v-2a-schottky-rectifier-diode-2pin-do-214ac/</t>
  </si>
  <si>
    <t xml:space="preserve">BAT54C </t>
  </si>
  <si>
    <t>https://www.ktron.in/product/16-pin-usb-type-c-connector-smd/?v=c86ee0d9d7ed</t>
  </si>
  <si>
    <t>https://evelta.com/bat54clt1g-30v-200ma-common-cathode-dual-schottky-diode-3pin-sot-23/</t>
  </si>
  <si>
    <t>https://robu.in/product/ts128cj-shou-han-300ma12mm-100m%CF%89-100000-times-30v12mm-8mm-round-button-direct-insert-spst-plugin-tactile-switches-rohs/</t>
  </si>
  <si>
    <t>https://www.digikey.in/en/products/detail/espressif-systems/ESP32-C3-WROOM-02-N4/14553031</t>
  </si>
  <si>
    <t>Total</t>
  </si>
  <si>
    <t>Pcb with pick and place (May change wrt US standards)</t>
  </si>
  <si>
    <t>Enclosure</t>
  </si>
  <si>
    <t>Product assembly(Labour)</t>
  </si>
  <si>
    <t>Battery</t>
  </si>
  <si>
    <t>Light guide (TBD Based on cllient decison)</t>
  </si>
  <si>
    <t>Price in INR</t>
  </si>
  <si>
    <t>Total Price</t>
  </si>
  <si>
    <t>Price in Dollar(China)</t>
  </si>
  <si>
    <t>Price in Dollar(Indian)</t>
  </si>
  <si>
    <t>Least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</si>
</sst>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2">
    <xf numFmtId="0" fontId="0" fillId="0" borderId="0" xfId="0"/>
    <xf numFmtId="0" fontId="18" fillId="0" borderId="0" xfId="42"/>
    <xf numFmtId="0" fontId="0" fillId="0" borderId="0" xfId="0" applyAlignment="1">
      <alignment wrapText="1"/>
    </xf>
    <xf numFmtId="0" fontId="0" fillId="0" borderId="10" xfId="0" applyBorder="1"/>
    <xf numFmtId="0" fontId="16" fillId="33" borderId="10" xfId="0" applyFont="1" applyFill="1" applyBorder="1"/>
    <xf numFmtId="0" fontId="19" fillId="33" borderId="10" xfId="0" applyFont="1" applyFill="1" applyBorder="1"/>
    <xf numFmtId="0" fontId="0" fillId="34" borderId="10" xfId="0" applyFill="1" applyBorder="1"/>
    <xf numFmtId="0" fontId="0" fillId="33" borderId="10" xfId="0" applyFill="1" applyBorder="1"/>
    <xf numFmtId="0" fontId="0" fillId="33" borderId="0" xfId="0" applyFill="1"/>
    <xf numFmtId="0" fontId="0" fillId="35" borderId="10" xfId="0" applyFill="1" applyBorder="1"/>
    <xf numFmtId="0" fontId="16" fillId="35" borderId="10" xfId="0" applyFont="1" applyFill="1" applyBorder="1"/>
    <xf numFmtId="0" fontId="16" fillId="34" borderId="10" xfId="0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tron.in/product/10uf-10v-mlcc-x5r-smd-0402-0402zd106mat2a/?v=c86ee0d9d7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DDE3F-F933-44E9-AA55-28FE1B02C6F6}">
  <dimension ref="A1:K38"/>
  <sheetViews>
    <sheetView tabSelected="1" topLeftCell="B1" zoomScaleNormal="100" workbookViewId="0">
      <selection activeCell="K31" sqref="K31"/>
    </sheetView>
  </sheetViews>
  <sheetFormatPr defaultRowHeight="15" x14ac:dyDescent="0.25"/>
  <cols>
    <col min="2" max="2" width="30.7109375" customWidth="1"/>
    <col min="3" max="3" width="16.5703125" customWidth="1"/>
    <col min="4" max="4" width="13.140625" customWidth="1"/>
    <col min="5" max="5" width="11.7109375" customWidth="1"/>
    <col min="6" max="6" width="13.140625" customWidth="1"/>
    <col min="7" max="7" width="24.5703125" customWidth="1"/>
    <col min="8" max="8" width="13.140625" customWidth="1"/>
    <col min="9" max="9" width="21.7109375" customWidth="1"/>
    <col min="10" max="10" width="11.28515625" customWidth="1"/>
    <col min="11" max="11" width="86.28515625" customWidth="1"/>
    <col min="12" max="12" width="29.42578125" customWidth="1"/>
  </cols>
  <sheetData>
    <row r="1" spans="1:11" s="8" customFormat="1" ht="15.75" x14ac:dyDescent="0.25">
      <c r="A1" s="5" t="s">
        <v>0</v>
      </c>
      <c r="B1" s="5" t="s">
        <v>1</v>
      </c>
      <c r="C1" s="5" t="s">
        <v>2</v>
      </c>
      <c r="D1" s="5"/>
      <c r="E1" s="5" t="s">
        <v>3</v>
      </c>
      <c r="F1" s="5" t="s">
        <v>91</v>
      </c>
      <c r="G1" s="5" t="s">
        <v>94</v>
      </c>
      <c r="H1" s="5" t="s">
        <v>92</v>
      </c>
      <c r="I1" s="5" t="s">
        <v>93</v>
      </c>
      <c r="J1" s="4" t="s">
        <v>95</v>
      </c>
    </row>
    <row r="2" spans="1:11" x14ac:dyDescent="0.25">
      <c r="A2" s="3">
        <v>1</v>
      </c>
      <c r="B2" s="3" t="s">
        <v>4</v>
      </c>
      <c r="C2" s="3" t="s">
        <v>5</v>
      </c>
      <c r="D2" s="3"/>
      <c r="E2" s="3">
        <v>3</v>
      </c>
      <c r="F2" s="3">
        <v>0.18</v>
      </c>
      <c r="G2" s="3">
        <f>(F2/89.58)</f>
        <v>2.0093770931011385E-3</v>
      </c>
      <c r="H2" s="6">
        <f>(G2*E2)</f>
        <v>6.0281312793034154E-3</v>
      </c>
      <c r="I2" s="3">
        <v>4.0000000000000002E-4</v>
      </c>
      <c r="J2" s="9">
        <f>MIN(G2,I2)</f>
        <v>4.0000000000000002E-4</v>
      </c>
      <c r="K2" t="s">
        <v>56</v>
      </c>
    </row>
    <row r="3" spans="1:11" x14ac:dyDescent="0.25">
      <c r="A3" s="3">
        <v>2</v>
      </c>
      <c r="B3" s="3" t="s">
        <v>7</v>
      </c>
      <c r="C3" s="3" t="s">
        <v>6</v>
      </c>
      <c r="D3" s="3"/>
      <c r="E3" s="3">
        <v>1</v>
      </c>
      <c r="F3" s="3">
        <v>1.99</v>
      </c>
      <c r="G3" s="3">
        <f>(F3/89.58)</f>
        <v>2.2214780084840367E-2</v>
      </c>
      <c r="H3" s="6">
        <f>(G3*E3)</f>
        <v>2.2214780084840367E-2</v>
      </c>
      <c r="I3" s="3">
        <v>3.9E-2</v>
      </c>
      <c r="J3" s="9">
        <f>MIN(G3,I3)</f>
        <v>2.2214780084840367E-2</v>
      </c>
      <c r="K3" t="s">
        <v>57</v>
      </c>
    </row>
    <row r="4" spans="1:11" x14ac:dyDescent="0.25">
      <c r="A4" s="3">
        <v>3</v>
      </c>
      <c r="B4" s="3" t="s">
        <v>8</v>
      </c>
      <c r="C4" s="3" t="s">
        <v>9</v>
      </c>
      <c r="D4" s="3"/>
      <c r="E4" s="3">
        <v>2</v>
      </c>
      <c r="F4" s="3">
        <v>0.18</v>
      </c>
      <c r="G4" s="3">
        <f>(F4/89.58)</f>
        <v>2.0093770931011385E-3</v>
      </c>
      <c r="H4" s="6">
        <f>(G4*E4)</f>
        <v>4.0187541862022769E-3</v>
      </c>
      <c r="I4" s="3">
        <v>8.0000000000000004E-4</v>
      </c>
      <c r="J4" s="9">
        <f>MIN(G4,I4)</f>
        <v>8.0000000000000004E-4</v>
      </c>
      <c r="K4" t="s">
        <v>60</v>
      </c>
    </row>
    <row r="5" spans="1:11" x14ac:dyDescent="0.25">
      <c r="A5" s="3">
        <v>4</v>
      </c>
      <c r="B5" s="3" t="s">
        <v>58</v>
      </c>
      <c r="C5" s="3" t="s">
        <v>10</v>
      </c>
      <c r="D5" s="3"/>
      <c r="E5" s="3">
        <v>1</v>
      </c>
      <c r="F5" s="3">
        <v>63.7</v>
      </c>
      <c r="G5" s="3">
        <f>(F5/89.58)</f>
        <v>0.71109622683634743</v>
      </c>
      <c r="H5" s="6">
        <f>(G5*E5)</f>
        <v>0.71109622683634743</v>
      </c>
      <c r="I5" s="3">
        <v>0.89190000000000003</v>
      </c>
      <c r="J5" s="9">
        <f>MIN(G5,I5)</f>
        <v>0.71109622683634743</v>
      </c>
      <c r="K5" t="s">
        <v>59</v>
      </c>
    </row>
    <row r="6" spans="1:11" x14ac:dyDescent="0.25">
      <c r="A6" s="3">
        <v>5</v>
      </c>
      <c r="B6" s="3" t="s">
        <v>11</v>
      </c>
      <c r="C6" s="3" t="s">
        <v>12</v>
      </c>
      <c r="D6" s="3"/>
      <c r="E6" s="3">
        <v>4</v>
      </c>
      <c r="F6" s="3">
        <v>0.72</v>
      </c>
      <c r="G6" s="3">
        <f>(F6/89.58)</f>
        <v>8.0375083724045539E-3</v>
      </c>
      <c r="H6" s="6">
        <f>(G6*E6)</f>
        <v>3.2150033489618215E-2</v>
      </c>
      <c r="I6" s="3">
        <v>3.3E-3</v>
      </c>
      <c r="J6" s="9">
        <f>MIN(G6,I6)</f>
        <v>3.3E-3</v>
      </c>
      <c r="K6" s="1" t="s">
        <v>61</v>
      </c>
    </row>
    <row r="7" spans="1:11" x14ac:dyDescent="0.25">
      <c r="A7" s="3">
        <v>6</v>
      </c>
      <c r="B7" s="3" t="s">
        <v>13</v>
      </c>
      <c r="C7" s="3" t="s">
        <v>14</v>
      </c>
      <c r="D7" s="3"/>
      <c r="E7" s="3">
        <v>6</v>
      </c>
      <c r="F7" s="3">
        <v>0.15</v>
      </c>
      <c r="G7" s="3">
        <f>(F7/89.58)</f>
        <v>1.6744809109176155E-3</v>
      </c>
      <c r="H7" s="6">
        <f>(G7*E7)</f>
        <v>1.0046885465505693E-2</v>
      </c>
      <c r="I7" s="3">
        <v>4.0000000000000002E-4</v>
      </c>
      <c r="J7" s="9">
        <f>MIN(G7,I7)</f>
        <v>4.0000000000000002E-4</v>
      </c>
      <c r="K7" t="s">
        <v>62</v>
      </c>
    </row>
    <row r="8" spans="1:11" ht="30" x14ac:dyDescent="0.25">
      <c r="A8" s="3">
        <v>7</v>
      </c>
      <c r="B8" s="3" t="s">
        <v>15</v>
      </c>
      <c r="C8" s="3" t="s">
        <v>16</v>
      </c>
      <c r="D8" s="3"/>
      <c r="E8" s="3">
        <v>1</v>
      </c>
      <c r="F8" s="3">
        <v>9</v>
      </c>
      <c r="G8" s="3">
        <f>(F8/89.58)</f>
        <v>0.10046885465505694</v>
      </c>
      <c r="H8" s="6">
        <f>(G8*E8)</f>
        <v>0.10046885465505694</v>
      </c>
      <c r="I8" s="3">
        <v>1.9199999999999998E-2</v>
      </c>
      <c r="J8" s="9">
        <f>MIN(G8,I8)</f>
        <v>1.9199999999999998E-2</v>
      </c>
      <c r="K8" s="2" t="s">
        <v>63</v>
      </c>
    </row>
    <row r="9" spans="1:11" x14ac:dyDescent="0.25">
      <c r="A9" s="3">
        <v>8</v>
      </c>
      <c r="B9" s="3" t="s">
        <v>17</v>
      </c>
      <c r="C9" s="3" t="s">
        <v>18</v>
      </c>
      <c r="D9" s="3"/>
      <c r="E9" s="3">
        <v>1</v>
      </c>
      <c r="F9" s="3">
        <v>192</v>
      </c>
      <c r="G9" s="3">
        <f>(F9/89.58)</f>
        <v>2.1433355659745481</v>
      </c>
      <c r="H9" s="6">
        <f>(G9*E9)</f>
        <v>2.1433355659745481</v>
      </c>
      <c r="I9" s="3">
        <v>0.82</v>
      </c>
      <c r="J9" s="9">
        <f>MIN(G9,I9)</f>
        <v>0.82</v>
      </c>
      <c r="K9" t="s">
        <v>64</v>
      </c>
    </row>
    <row r="10" spans="1:11" x14ac:dyDescent="0.25">
      <c r="A10" s="3">
        <v>9</v>
      </c>
      <c r="B10" s="3" t="s">
        <v>19</v>
      </c>
      <c r="C10" s="3" t="s">
        <v>20</v>
      </c>
      <c r="D10" s="3"/>
      <c r="E10" s="3">
        <v>5</v>
      </c>
      <c r="F10" s="3">
        <v>0.34</v>
      </c>
      <c r="G10" s="3">
        <f>(F10/89.58)</f>
        <v>3.7954900647465956E-3</v>
      </c>
      <c r="H10" s="6">
        <f>(G10*E10)</f>
        <v>1.8977450323732978E-2</v>
      </c>
      <c r="I10" s="3">
        <v>1.5E-3</v>
      </c>
      <c r="J10" s="9">
        <f>MIN(G10,I10)</f>
        <v>1.5E-3</v>
      </c>
      <c r="K10" t="s">
        <v>65</v>
      </c>
    </row>
    <row r="11" spans="1:11" x14ac:dyDescent="0.25">
      <c r="A11" s="3">
        <v>10</v>
      </c>
      <c r="B11" s="3" t="s">
        <v>21</v>
      </c>
      <c r="C11" s="3" t="s">
        <v>22</v>
      </c>
      <c r="D11" s="3"/>
      <c r="E11" s="3">
        <v>2</v>
      </c>
      <c r="F11" s="3">
        <v>0.26</v>
      </c>
      <c r="G11" s="3">
        <f>(F11/89.58)</f>
        <v>2.902433578923867E-3</v>
      </c>
      <c r="H11" s="6">
        <f>(G11*E11)</f>
        <v>5.804867157847734E-3</v>
      </c>
      <c r="I11" s="3">
        <v>5.4999999999999997E-3</v>
      </c>
      <c r="J11" s="9">
        <f>MIN(G11,I11)</f>
        <v>2.902433578923867E-3</v>
      </c>
      <c r="K11" t="s">
        <v>66</v>
      </c>
    </row>
    <row r="12" spans="1:11" x14ac:dyDescent="0.25">
      <c r="A12" s="3">
        <v>11</v>
      </c>
      <c r="B12" s="3" t="s">
        <v>23</v>
      </c>
      <c r="C12" s="3" t="s">
        <v>24</v>
      </c>
      <c r="D12" s="3"/>
      <c r="E12" s="3">
        <v>1</v>
      </c>
      <c r="F12" s="3">
        <v>0.24</v>
      </c>
      <c r="G12" s="3">
        <f>(F12/89.58)</f>
        <v>2.6791694574681848E-3</v>
      </c>
      <c r="H12" s="6">
        <f>(G12*E12)</f>
        <v>2.6791694574681848E-3</v>
      </c>
      <c r="I12" s="3">
        <v>8.0000000000000004E-4</v>
      </c>
      <c r="J12" s="9">
        <f>MIN(G12,I12)</f>
        <v>8.0000000000000004E-4</v>
      </c>
      <c r="K12" t="s">
        <v>67</v>
      </c>
    </row>
    <row r="13" spans="1:11" x14ac:dyDescent="0.25">
      <c r="A13" s="3">
        <v>12</v>
      </c>
      <c r="B13" s="3" t="s">
        <v>25</v>
      </c>
      <c r="C13" s="3" t="s">
        <v>26</v>
      </c>
      <c r="D13" s="3"/>
      <c r="E13" s="3">
        <v>1</v>
      </c>
      <c r="F13" s="3">
        <v>2.93</v>
      </c>
      <c r="G13" s="3">
        <f>(F13/89.58)</f>
        <v>3.2708193793257428E-2</v>
      </c>
      <c r="H13" s="6">
        <f>(G13*E13)</f>
        <v>3.2708193793257428E-2</v>
      </c>
      <c r="I13" s="3">
        <v>4.3499999999999997E-2</v>
      </c>
      <c r="J13" s="9">
        <f>MIN(G13,I13)</f>
        <v>3.2708193793257428E-2</v>
      </c>
      <c r="K13" t="s">
        <v>68</v>
      </c>
    </row>
    <row r="14" spans="1:11" x14ac:dyDescent="0.25">
      <c r="A14" s="3">
        <v>13</v>
      </c>
      <c r="B14" s="3" t="s">
        <v>27</v>
      </c>
      <c r="C14" s="3" t="s">
        <v>28</v>
      </c>
      <c r="D14" s="3"/>
      <c r="E14" s="3">
        <v>1</v>
      </c>
      <c r="F14" s="3">
        <v>1.99</v>
      </c>
      <c r="G14" s="3">
        <f>(F14/89.58)</f>
        <v>2.2214780084840367E-2</v>
      </c>
      <c r="H14" s="6">
        <f>(G14*E14)</f>
        <v>2.2214780084840367E-2</v>
      </c>
      <c r="I14" s="3">
        <v>3.9E-2</v>
      </c>
      <c r="J14" s="9">
        <f>MIN(G14,I14)</f>
        <v>2.2214780084840367E-2</v>
      </c>
      <c r="K14" t="s">
        <v>57</v>
      </c>
    </row>
    <row r="15" spans="1:11" x14ac:dyDescent="0.25">
      <c r="A15" s="3">
        <v>14</v>
      </c>
      <c r="B15" s="3" t="s">
        <v>29</v>
      </c>
      <c r="C15" s="3" t="s">
        <v>30</v>
      </c>
      <c r="D15" s="3"/>
      <c r="E15" s="3">
        <v>1</v>
      </c>
      <c r="F15" s="3">
        <v>6.67</v>
      </c>
      <c r="G15" s="3">
        <f>(F15/89.58)</f>
        <v>7.4458584505469966E-2</v>
      </c>
      <c r="H15" s="6">
        <f>(G15*E15)</f>
        <v>7.4458584505469966E-2</v>
      </c>
      <c r="I15" s="3">
        <v>0.23419999999999999</v>
      </c>
      <c r="J15" s="9">
        <f>MIN(G15,I15)</f>
        <v>7.4458584505469966E-2</v>
      </c>
      <c r="K15" t="s">
        <v>69</v>
      </c>
    </row>
    <row r="16" spans="1:11" x14ac:dyDescent="0.25">
      <c r="A16" s="3">
        <v>15</v>
      </c>
      <c r="B16" s="3" t="s">
        <v>31</v>
      </c>
      <c r="C16" s="3" t="s">
        <v>31</v>
      </c>
      <c r="D16" s="3"/>
      <c r="E16" s="3">
        <v>1</v>
      </c>
      <c r="F16" s="3">
        <v>0.17</v>
      </c>
      <c r="G16" s="3">
        <f>(F16/89.58)</f>
        <v>1.8977450323732978E-3</v>
      </c>
      <c r="H16" s="6">
        <f>(G16*E16)</f>
        <v>1.8977450323732978E-3</v>
      </c>
      <c r="I16" s="3">
        <v>5.0000000000000001E-4</v>
      </c>
      <c r="J16" s="9">
        <f>MIN(G16,I16)</f>
        <v>5.0000000000000001E-4</v>
      </c>
      <c r="K16" t="s">
        <v>70</v>
      </c>
    </row>
    <row r="17" spans="1:11" x14ac:dyDescent="0.25">
      <c r="A17" s="3">
        <v>16</v>
      </c>
      <c r="B17" s="3" t="s">
        <v>32</v>
      </c>
      <c r="C17" s="3" t="s">
        <v>32</v>
      </c>
      <c r="D17" s="3"/>
      <c r="E17" s="3">
        <v>1</v>
      </c>
      <c r="F17" s="3">
        <v>4.95</v>
      </c>
      <c r="G17" s="3">
        <f>(F17/89.58)</f>
        <v>5.5257870060281315E-2</v>
      </c>
      <c r="H17" s="6">
        <f>(G17*E17)</f>
        <v>5.5257870060281315E-2</v>
      </c>
      <c r="I17" s="3">
        <v>5.3900000000000003E-2</v>
      </c>
      <c r="J17" s="9">
        <f>MIN(G17,I17)</f>
        <v>5.3900000000000003E-2</v>
      </c>
      <c r="K17" t="s">
        <v>71</v>
      </c>
    </row>
    <row r="18" spans="1:11" x14ac:dyDescent="0.25">
      <c r="A18" s="3">
        <v>17</v>
      </c>
      <c r="B18" s="3" t="s">
        <v>33</v>
      </c>
      <c r="C18" s="3" t="s">
        <v>33</v>
      </c>
      <c r="D18" s="3"/>
      <c r="E18" s="3">
        <v>1</v>
      </c>
      <c r="F18" s="3">
        <v>3.04</v>
      </c>
      <c r="G18" s="3">
        <f>(F18/89.58)</f>
        <v>3.3936146461263673E-2</v>
      </c>
      <c r="H18" s="6">
        <f>(G18*E18)</f>
        <v>3.3936146461263673E-2</v>
      </c>
      <c r="I18" s="3">
        <v>1.18E-2</v>
      </c>
      <c r="J18" s="9">
        <f>MIN(G18,I18)</f>
        <v>1.18E-2</v>
      </c>
      <c r="K18" t="s">
        <v>72</v>
      </c>
    </row>
    <row r="19" spans="1:11" x14ac:dyDescent="0.25">
      <c r="A19" s="3">
        <v>18</v>
      </c>
      <c r="B19" s="3" t="s">
        <v>34</v>
      </c>
      <c r="C19" s="3" t="s">
        <v>35</v>
      </c>
      <c r="D19" s="3"/>
      <c r="E19" s="3">
        <v>1</v>
      </c>
      <c r="F19" s="3">
        <v>4.01</v>
      </c>
      <c r="G19" s="3">
        <f>(F19/89.58)</f>
        <v>4.4764456351864254E-2</v>
      </c>
      <c r="H19" s="6">
        <f>(G19*E19)</f>
        <v>4.4764456351864254E-2</v>
      </c>
      <c r="I19" s="3">
        <v>3.3399999999999999E-2</v>
      </c>
      <c r="J19" s="9">
        <f>MIN(G19,I19)</f>
        <v>3.3399999999999999E-2</v>
      </c>
      <c r="K19" t="s">
        <v>73</v>
      </c>
    </row>
    <row r="20" spans="1:11" x14ac:dyDescent="0.25">
      <c r="A20" s="3">
        <v>19</v>
      </c>
      <c r="B20" s="3" t="s">
        <v>36</v>
      </c>
      <c r="C20" s="3" t="s">
        <v>37</v>
      </c>
      <c r="D20" s="3"/>
      <c r="E20" s="3">
        <v>1</v>
      </c>
      <c r="F20" s="3">
        <v>170</v>
      </c>
      <c r="G20" s="3">
        <f>(F20/89.58)</f>
        <v>1.8977450323732976</v>
      </c>
      <c r="H20" s="6">
        <f>(G20*E20)</f>
        <v>1.8977450323732976</v>
      </c>
      <c r="I20" s="3">
        <v>1.89</v>
      </c>
      <c r="J20" s="9">
        <f>MIN(G20,I20)</f>
        <v>1.89</v>
      </c>
      <c r="K20" t="s">
        <v>74</v>
      </c>
    </row>
    <row r="21" spans="1:11" x14ac:dyDescent="0.25">
      <c r="A21" s="3">
        <v>20</v>
      </c>
      <c r="B21" s="3" t="s">
        <v>38</v>
      </c>
      <c r="C21" s="3" t="s">
        <v>39</v>
      </c>
      <c r="D21" s="3"/>
      <c r="E21" s="3">
        <v>2</v>
      </c>
      <c r="F21" s="3">
        <v>6</v>
      </c>
      <c r="G21" s="3">
        <f>(F21/89.58)</f>
        <v>6.6979236436704628E-2</v>
      </c>
      <c r="H21" s="6">
        <f>(G21*E21)</f>
        <v>0.13395847287340926</v>
      </c>
      <c r="I21" s="3">
        <v>4.9599999999999998E-2</v>
      </c>
      <c r="J21" s="9">
        <f>MIN(G21,I21)</f>
        <v>4.9599999999999998E-2</v>
      </c>
      <c r="K21" t="s">
        <v>75</v>
      </c>
    </row>
    <row r="22" spans="1:11" x14ac:dyDescent="0.25">
      <c r="A22" s="3">
        <v>21</v>
      </c>
      <c r="B22" s="3" t="s">
        <v>40</v>
      </c>
      <c r="C22" s="3" t="s">
        <v>41</v>
      </c>
      <c r="D22" s="3"/>
      <c r="E22" s="3">
        <v>1</v>
      </c>
      <c r="F22" s="3">
        <v>8.4600000000000009</v>
      </c>
      <c r="G22" s="3">
        <f>(F22/89.58)</f>
        <v>9.444072337575353E-2</v>
      </c>
      <c r="H22" s="6">
        <f>(G22*E22)</f>
        <v>9.444072337575353E-2</v>
      </c>
      <c r="I22" s="3">
        <v>4.4900000000000002E-2</v>
      </c>
      <c r="J22" s="9">
        <f>MIN(G22,I22)</f>
        <v>4.4900000000000002E-2</v>
      </c>
      <c r="K22" t="s">
        <v>76</v>
      </c>
    </row>
    <row r="23" spans="1:11" x14ac:dyDescent="0.25">
      <c r="A23" s="3">
        <v>22</v>
      </c>
      <c r="B23" s="3" t="s">
        <v>42</v>
      </c>
      <c r="C23" s="3" t="s">
        <v>43</v>
      </c>
      <c r="D23" s="3"/>
      <c r="E23" s="3">
        <v>3</v>
      </c>
      <c r="F23" s="3">
        <v>0.15</v>
      </c>
      <c r="G23" s="3">
        <f>(F23/89.58)</f>
        <v>1.6744809109176155E-3</v>
      </c>
      <c r="H23" s="6">
        <f>(G23*E23)</f>
        <v>5.0234427327528466E-3</v>
      </c>
      <c r="I23" s="3">
        <v>6.9999999999999999E-4</v>
      </c>
      <c r="J23" s="9">
        <f>MIN(G23,I23)</f>
        <v>6.9999999999999999E-4</v>
      </c>
      <c r="K23" t="s">
        <v>77</v>
      </c>
    </row>
    <row r="24" spans="1:11" x14ac:dyDescent="0.25">
      <c r="A24" s="3">
        <v>23</v>
      </c>
      <c r="B24" s="3" t="s">
        <v>44</v>
      </c>
      <c r="C24" s="3" t="s">
        <v>45</v>
      </c>
      <c r="D24" s="3"/>
      <c r="E24" s="3">
        <v>1</v>
      </c>
      <c r="F24" s="3">
        <v>3.3</v>
      </c>
      <c r="G24" s="3">
        <f>(F24/89.58)</f>
        <v>3.6838580040187544E-2</v>
      </c>
      <c r="H24" s="6">
        <f>(G24*E24)</f>
        <v>3.6838580040187544E-2</v>
      </c>
      <c r="I24" s="3">
        <v>2.8000000000000001E-2</v>
      </c>
      <c r="J24" s="9">
        <f>MIN(G24,I24)</f>
        <v>2.8000000000000001E-2</v>
      </c>
      <c r="K24" t="s">
        <v>83</v>
      </c>
    </row>
    <row r="25" spans="1:11" x14ac:dyDescent="0.25">
      <c r="A25" s="3">
        <v>24</v>
      </c>
      <c r="B25" s="3" t="s">
        <v>46</v>
      </c>
      <c r="C25" s="3" t="s">
        <v>47</v>
      </c>
      <c r="D25" s="3"/>
      <c r="E25" s="3">
        <v>1</v>
      </c>
      <c r="F25" s="3">
        <v>2.14</v>
      </c>
      <c r="G25" s="3">
        <f>(F25/89.58)</f>
        <v>2.3889260995757982E-2</v>
      </c>
      <c r="H25" s="6">
        <f>(G25*E25)</f>
        <v>2.3889260995757982E-2</v>
      </c>
      <c r="I25" s="3">
        <v>1.4800000000000001E-2</v>
      </c>
      <c r="J25" s="9">
        <f>MIN(G25,I25)</f>
        <v>1.4800000000000001E-2</v>
      </c>
      <c r="K25" t="s">
        <v>78</v>
      </c>
    </row>
    <row r="26" spans="1:11" x14ac:dyDescent="0.25">
      <c r="A26" s="3">
        <v>25</v>
      </c>
      <c r="B26" s="3" t="s">
        <v>48</v>
      </c>
      <c r="C26" s="3" t="s">
        <v>48</v>
      </c>
      <c r="D26" s="3"/>
      <c r="E26" s="3">
        <v>1</v>
      </c>
      <c r="F26" s="3">
        <v>1.37</v>
      </c>
      <c r="G26" s="3">
        <f>(F26/89.58)</f>
        <v>1.5293592319714224E-2</v>
      </c>
      <c r="H26" s="6">
        <f>(G26*E26)</f>
        <v>1.5293592319714224E-2</v>
      </c>
      <c r="I26" s="3">
        <v>1.78E-2</v>
      </c>
      <c r="J26" s="9">
        <f>MIN(G26,I26)</f>
        <v>1.5293592319714224E-2</v>
      </c>
      <c r="K26" t="s">
        <v>79</v>
      </c>
    </row>
    <row r="27" spans="1:11" x14ac:dyDescent="0.25">
      <c r="A27" s="3">
        <v>26</v>
      </c>
      <c r="B27" s="3" t="s">
        <v>49</v>
      </c>
      <c r="C27" s="3" t="s">
        <v>50</v>
      </c>
      <c r="D27" s="3"/>
      <c r="E27" s="3">
        <v>1</v>
      </c>
      <c r="F27" s="3">
        <v>4.3</v>
      </c>
      <c r="G27" s="3">
        <f>(F27/89.58)</f>
        <v>4.8001786112971644E-2</v>
      </c>
      <c r="H27" s="6">
        <f>(G27*E27)</f>
        <v>4.8001786112971644E-2</v>
      </c>
      <c r="I27" s="3">
        <v>0.29770000000000002</v>
      </c>
      <c r="J27" s="9">
        <f>MIN(G27,I27)</f>
        <v>4.8001786112971644E-2</v>
      </c>
      <c r="K27" t="s">
        <v>81</v>
      </c>
    </row>
    <row r="28" spans="1:11" x14ac:dyDescent="0.25">
      <c r="A28" s="3">
        <v>27</v>
      </c>
      <c r="B28" s="3" t="s">
        <v>80</v>
      </c>
      <c r="C28" s="3" t="s">
        <v>51</v>
      </c>
      <c r="D28" s="3"/>
      <c r="E28" s="3">
        <v>1</v>
      </c>
      <c r="F28" s="3">
        <v>5.37</v>
      </c>
      <c r="G28" s="3">
        <f>(F28/89.58)</f>
        <v>5.9946416610850636E-2</v>
      </c>
      <c r="H28" s="6">
        <f>(G28*E28)</f>
        <v>5.9946416610850636E-2</v>
      </c>
      <c r="I28" s="3">
        <v>4.7999999999999996E-3</v>
      </c>
      <c r="J28" s="9">
        <f>MIN(G28,I28)</f>
        <v>4.7999999999999996E-3</v>
      </c>
      <c r="K28" t="s">
        <v>82</v>
      </c>
    </row>
    <row r="29" spans="1:11" x14ac:dyDescent="0.25">
      <c r="A29" s="3">
        <v>28</v>
      </c>
      <c r="B29" s="3" t="s">
        <v>52</v>
      </c>
      <c r="C29" s="3" t="s">
        <v>53</v>
      </c>
      <c r="D29" s="3"/>
      <c r="E29" s="3">
        <v>1</v>
      </c>
      <c r="F29" s="3">
        <v>0.17</v>
      </c>
      <c r="G29" s="3">
        <f>(F29/89.58)</f>
        <v>1.8977450323732978E-3</v>
      </c>
      <c r="H29" s="6">
        <f>(G29*E29)</f>
        <v>1.8977450323732978E-3</v>
      </c>
      <c r="I29" s="3">
        <v>8.9999999999999998E-4</v>
      </c>
      <c r="J29" s="9">
        <f>MIN(G29,I29)</f>
        <v>8.9999999999999998E-4</v>
      </c>
      <c r="K29" t="s">
        <v>70</v>
      </c>
    </row>
    <row r="30" spans="1:11" x14ac:dyDescent="0.25">
      <c r="A30" s="3">
        <v>29</v>
      </c>
      <c r="B30" s="3" t="s">
        <v>54</v>
      </c>
      <c r="C30" s="3" t="s">
        <v>55</v>
      </c>
      <c r="D30" s="3"/>
      <c r="E30" s="3">
        <v>1</v>
      </c>
      <c r="F30" s="3">
        <v>168</v>
      </c>
      <c r="G30" s="3">
        <f>(F30/89.58)</f>
        <v>1.8754186202277294</v>
      </c>
      <c r="H30" s="6">
        <f>(G30*E30)</f>
        <v>1.8754186202277294</v>
      </c>
      <c r="I30" s="3">
        <v>1.87</v>
      </c>
      <c r="J30" s="9">
        <f>MIN(G30,I30)</f>
        <v>1.87</v>
      </c>
      <c r="K30" t="s">
        <v>84</v>
      </c>
    </row>
    <row r="31" spans="1:11" s="8" customFormat="1" x14ac:dyDescent="0.25">
      <c r="A31" s="7"/>
      <c r="B31" s="7"/>
      <c r="C31" s="7"/>
      <c r="D31" s="7"/>
      <c r="E31" s="7"/>
      <c r="F31" s="7"/>
      <c r="G31" s="4" t="s">
        <v>85</v>
      </c>
      <c r="H31" s="11">
        <f>SUM(H2:H30)</f>
        <v>7.5145121678946198</v>
      </c>
      <c r="I31" s="4">
        <f>SUM(I2:I30)</f>
        <v>6.4183000000000003</v>
      </c>
      <c r="J31" s="10">
        <f>SUM(J2:J30)</f>
        <v>5.778590377316366</v>
      </c>
    </row>
    <row r="32" spans="1:1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25">
      <c r="A33" s="3"/>
      <c r="B33" s="3" t="s">
        <v>86</v>
      </c>
      <c r="C33" s="3"/>
      <c r="D33" s="3"/>
      <c r="E33" s="3"/>
      <c r="F33" s="3"/>
      <c r="G33" s="3"/>
      <c r="H33" s="6">
        <v>0.25</v>
      </c>
      <c r="I33" s="6"/>
      <c r="J33" s="9">
        <v>0.25</v>
      </c>
    </row>
    <row r="34" spans="1:10" x14ac:dyDescent="0.25">
      <c r="A34" s="3"/>
      <c r="B34" s="3" t="s">
        <v>87</v>
      </c>
      <c r="C34" s="3"/>
      <c r="D34" s="3"/>
      <c r="E34" s="3"/>
      <c r="F34" s="3"/>
      <c r="G34" s="3"/>
      <c r="H34" s="6">
        <v>0.1</v>
      </c>
      <c r="I34" s="6"/>
      <c r="J34" s="9">
        <v>0.1</v>
      </c>
    </row>
    <row r="35" spans="1:10" x14ac:dyDescent="0.25">
      <c r="A35" s="3"/>
      <c r="B35" s="3" t="s">
        <v>88</v>
      </c>
      <c r="C35" s="3"/>
      <c r="D35" s="3"/>
      <c r="E35" s="3"/>
      <c r="F35" s="3"/>
      <c r="G35" s="3"/>
      <c r="H35" s="6">
        <v>0.13</v>
      </c>
      <c r="I35" s="6"/>
      <c r="J35" s="9">
        <v>0.13</v>
      </c>
    </row>
    <row r="36" spans="1:10" x14ac:dyDescent="0.25">
      <c r="A36" s="3"/>
      <c r="B36" s="3" t="s">
        <v>89</v>
      </c>
      <c r="C36" s="3"/>
      <c r="D36" s="3"/>
      <c r="E36" s="3"/>
      <c r="F36" s="3"/>
      <c r="G36" s="3"/>
      <c r="H36" s="6">
        <v>1.2</v>
      </c>
      <c r="I36" s="6"/>
      <c r="J36" s="9">
        <v>1.2</v>
      </c>
    </row>
    <row r="37" spans="1:10" x14ac:dyDescent="0.25">
      <c r="A37" s="3"/>
      <c r="B37" s="3" t="s">
        <v>90</v>
      </c>
      <c r="C37" s="3"/>
      <c r="D37" s="3"/>
      <c r="E37" s="3"/>
      <c r="F37" s="3"/>
      <c r="G37" s="3"/>
      <c r="H37" s="6">
        <v>0.06</v>
      </c>
      <c r="I37" s="6"/>
      <c r="J37" s="9">
        <v>0.06</v>
      </c>
    </row>
    <row r="38" spans="1:10" x14ac:dyDescent="0.25">
      <c r="A38" s="3"/>
      <c r="B38" s="3"/>
      <c r="C38" s="3"/>
      <c r="D38" s="3"/>
      <c r="E38" s="3"/>
      <c r="F38" s="3"/>
      <c r="G38" s="4" t="s">
        <v>85</v>
      </c>
      <c r="H38" s="4">
        <f>SUM(H31:H37)</f>
        <v>9.2545121678946192</v>
      </c>
      <c r="I38" s="4"/>
      <c r="J38" s="4">
        <f>SUM(J31:J37)</f>
        <v>7.5185903773163654</v>
      </c>
    </row>
  </sheetData>
  <hyperlinks>
    <hyperlink ref="K6" r:id="rId1" xr:uid="{F928283C-DFD8-4A3A-B84C-074B3BC3E9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BOM_JUXTA-V2.1.1-C3_2025-12-21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Animesh Rana</dc:creator>
  <cp:lastModifiedBy>Animesh Rana</cp:lastModifiedBy>
  <dcterms:created xsi:type="dcterms:W3CDTF">2025-12-21T00:01:55Z</dcterms:created>
  <dcterms:modified xsi:type="dcterms:W3CDTF">2025-12-21T06:54:47Z</dcterms:modified>
</cp:coreProperties>
</file>